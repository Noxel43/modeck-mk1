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tis\Documents\MP3 Player\mp3player\"/>
    </mc:Choice>
  </mc:AlternateContent>
  <xr:revisionPtr revIDLastSave="0" documentId="13_ncr:1_{19E4CD45-3DDE-4A6D-BA66-48EADAEFF793}" xr6:coauthVersionLast="47" xr6:coauthVersionMax="47" xr10:uidLastSave="{00000000-0000-0000-0000-000000000000}"/>
  <bookViews>
    <workbookView xWindow="-120" yWindow="-120" windowWidth="51840" windowHeight="21840" xr2:uid="{FE1B185A-A9A9-4E1C-B6DA-3804C7689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1" i="1"/>
  <c r="F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2" i="1" l="1"/>
</calcChain>
</file>

<file path=xl/sharedStrings.xml><?xml version="1.0" encoding="utf-8"?>
<sst xmlns="http://schemas.openxmlformats.org/spreadsheetml/2006/main" count="232" uniqueCount="153">
  <si>
    <t>Ref</t>
  </si>
  <si>
    <t>Qty</t>
  </si>
  <si>
    <t>Value</t>
  </si>
  <si>
    <t>Unit</t>
  </si>
  <si>
    <t>Price (ea)</t>
  </si>
  <si>
    <t>Price (tot)</t>
  </si>
  <si>
    <t>Footprint/Type</t>
  </si>
  <si>
    <t>Link</t>
  </si>
  <si>
    <t>C1</t>
  </si>
  <si>
    <t>µF</t>
  </si>
  <si>
    <t>C2,C4,C5,C14,C16,C21</t>
  </si>
  <si>
    <t>nF</t>
  </si>
  <si>
    <t>C3,C6,C7,C11,C12,C13</t>
  </si>
  <si>
    <t>C8,C15,C17,C18,C22</t>
  </si>
  <si>
    <t>C9,C10</t>
  </si>
  <si>
    <t>C19,C20</t>
  </si>
  <si>
    <t>D1</t>
  </si>
  <si>
    <t>LED</t>
  </si>
  <si>
    <t>N/A</t>
  </si>
  <si>
    <t>J1</t>
  </si>
  <si>
    <t>AudioJack3</t>
  </si>
  <si>
    <t>J2</t>
  </si>
  <si>
    <t>Battery</t>
  </si>
  <si>
    <t>J3</t>
  </si>
  <si>
    <t>USB_C</t>
  </si>
  <si>
    <t>J4</t>
  </si>
  <si>
    <t>Micro_SD_Card</t>
  </si>
  <si>
    <t>J5</t>
  </si>
  <si>
    <t>TFT SPI</t>
  </si>
  <si>
    <t>R1,R2,R5,R6,R8,R9,R20,R21,R22,R23,R24</t>
  </si>
  <si>
    <t>kΩ</t>
  </si>
  <si>
    <t>R3</t>
  </si>
  <si>
    <t>Ω</t>
  </si>
  <si>
    <t>R4</t>
  </si>
  <si>
    <t>R7</t>
  </si>
  <si>
    <t>R10,R11,R12,R13</t>
  </si>
  <si>
    <t>R14,R15</t>
  </si>
  <si>
    <t>R16</t>
  </si>
  <si>
    <t>R17</t>
  </si>
  <si>
    <t>R18,R19</t>
  </si>
  <si>
    <t>RV1</t>
  </si>
  <si>
    <t>Slide pot</t>
  </si>
  <si>
    <t>SW1</t>
  </si>
  <si>
    <t>Play</t>
  </si>
  <si>
    <t>SW2</t>
  </si>
  <si>
    <t>Trk Prev</t>
  </si>
  <si>
    <t>SW3</t>
  </si>
  <si>
    <t>Trk Next</t>
  </si>
  <si>
    <t>SW4</t>
  </si>
  <si>
    <t>Mode Prev</t>
  </si>
  <si>
    <t>SW5</t>
  </si>
  <si>
    <t>Mode Next</t>
  </si>
  <si>
    <t>SW6</t>
  </si>
  <si>
    <t>Eq</t>
  </si>
  <si>
    <t>SW7</t>
  </si>
  <si>
    <t>Power</t>
  </si>
  <si>
    <t>SW8</t>
  </si>
  <si>
    <t>RESET</t>
  </si>
  <si>
    <t>SW9</t>
  </si>
  <si>
    <t>BOOT</t>
  </si>
  <si>
    <t>SW10</t>
  </si>
  <si>
    <t>Power_sw</t>
  </si>
  <si>
    <t>SW11</t>
  </si>
  <si>
    <t>Next</t>
  </si>
  <si>
    <t>SW12</t>
  </si>
  <si>
    <t>Prev</t>
  </si>
  <si>
    <t>U1</t>
  </si>
  <si>
    <t>ESP32-S3-WROOM-1</t>
  </si>
  <si>
    <t>U2</t>
  </si>
  <si>
    <t>ES8388</t>
  </si>
  <si>
    <t>U3</t>
  </si>
  <si>
    <t>AP2112K-3.3</t>
  </si>
  <si>
    <t>U4</t>
  </si>
  <si>
    <t>MCP73831-2-OT</t>
  </si>
  <si>
    <t>U5</t>
  </si>
  <si>
    <t>USBLC6-2SC6</t>
  </si>
  <si>
    <t>Capacitor_SMD:C_0805_2012Metric</t>
  </si>
  <si>
    <t>CL21A226MAQNNNE</t>
  </si>
  <si>
    <t>Capacitor_SMD:C_0603_1608Metric</t>
  </si>
  <si>
    <t>GRM188R71H104KA93D</t>
  </si>
  <si>
    <t>CL10A105KB8NNNC</t>
  </si>
  <si>
    <t>CL21A106KAYNNNE</t>
  </si>
  <si>
    <t>Capacitor_SMD:CP_Elec_6.3x5.4</t>
  </si>
  <si>
    <t>EEE-FK0J221P</t>
  </si>
  <si>
    <t>CL21A475KAQNNNE</t>
  </si>
  <si>
    <t>LED_SMD:LED_0603_1608Metric</t>
  </si>
  <si>
    <t>Connector_Audio:Jack_3.5mm_CUI_SJ-3523-SMT_Horizontal</t>
  </si>
  <si>
    <t>STX-3000</t>
  </si>
  <si>
    <t>Connector_PinSocket_2.00mm:PinSocket_1x02_P2.00mm_Horizontal</t>
  </si>
  <si>
    <t>Connector_USB:USB_C_Receptacle_Amphenol_124019772112A</t>
  </si>
  <si>
    <t>Connector_Card:microSD_HC_Wuerth_693072010801</t>
  </si>
  <si>
    <t>Connector_JST:JST_GH_SM08B-GHS-TB_1x08-1MP_P1.25mm_Horizontal</t>
  </si>
  <si>
    <t>Resistor_SMD:R_0603_1608Metric</t>
  </si>
  <si>
    <t>RC0603FR-0710KL</t>
  </si>
  <si>
    <t>RC0603FR-075R1L</t>
  </si>
  <si>
    <t>RC0603FR-074R7L</t>
  </si>
  <si>
    <t>RC0603JR-070RL</t>
  </si>
  <si>
    <t>RC0603FR-0733RL</t>
  </si>
  <si>
    <t>RC0603FR-07100KL</t>
  </si>
  <si>
    <t>RC0603FR-071KL</t>
  </si>
  <si>
    <t>RC0603FR-072KL</t>
  </si>
  <si>
    <t>RC0603FR-075K1L</t>
  </si>
  <si>
    <t>Potentiometer_SMD:Potentiometer_ACP_CA6-VSMD_Vertical</t>
  </si>
  <si>
    <t>Button_Switch_THT:SW_PUSH_6mm_H4.3mm</t>
  </si>
  <si>
    <t>1825910-6</t>
  </si>
  <si>
    <t>Button_Switch_SMD:SW_SPST_PTS810</t>
  </si>
  <si>
    <t>Button_Switch_SMD:SW_DIP_SPSTx01_Slide_6.7x4.1mm_W6.73mm_P2.54mm_LowProfile_JPin</t>
  </si>
  <si>
    <t>RF_Module:ESP32-S3-WROOM-1</t>
  </si>
  <si>
    <t>Package_DFN_QFN:QFN-28-1EP_4x4mm_P0.45mm_EP2.6x2.6mm</t>
  </si>
  <si>
    <t>Package_TO_SOT_SMD:SOT-23-5</t>
  </si>
  <si>
    <t>Package_TO_SOT_SMD:SOT-23-6</t>
  </si>
  <si>
    <t>150060VS55040</t>
  </si>
  <si>
    <t>124019772112A</t>
  </si>
  <si>
    <t>693072010801</t>
  </si>
  <si>
    <t>PTS810SJM250SMTR LFS</t>
  </si>
  <si>
    <t>SDA01H1SBD</t>
  </si>
  <si>
    <t>ESP32-S3-WROOM-1-N16</t>
  </si>
  <si>
    <t>AP2112K-3.3TRG1</t>
  </si>
  <si>
    <t>MCP73831T-2ACI/OT</t>
  </si>
  <si>
    <t>MFN</t>
  </si>
  <si>
    <t>https://www.digikey.com/en/products/result?keywords=CL21A226MAQNNNE</t>
  </si>
  <si>
    <t>https://www.digikey.com/en/products/result?keywords=GRM188R71H104KA93D</t>
  </si>
  <si>
    <t>https://www.digikey.com/en/products/result?keywords=CL10A105KB8NNNC</t>
  </si>
  <si>
    <t>https://www.digikey.com/en/products/result?keywords=CL21A106KAYNNNE</t>
  </si>
  <si>
    <t>https://www.digikey.com/en/products/result?keywords=EEE-FK0J221P</t>
  </si>
  <si>
    <t>https://www.digikey.com/en/products/result?keywords=CL21A475KAQNNNE</t>
  </si>
  <si>
    <t>https://www.digikey.com/en/products/detail/w%C3%BCrth-elektronik/150060VS55040/8557182</t>
  </si>
  <si>
    <t>https://www.digikey.com/en/products/result?keywords=STX-3000</t>
  </si>
  <si>
    <t/>
  </si>
  <si>
    <t>https://www.digikey.com/en/products/detail/amphenol-cs-commercial-products/124019772112A/13683231</t>
  </si>
  <si>
    <t>https://www.digikey.com/en/products/detail/w%C3%BCrth-elektronik/693072010801/3124584?s=N4IgTCBcDaIGwE4DMAGA7GFBGFAObIAugL5A</t>
  </si>
  <si>
    <t>https://www.digikey.com/en/products/result?keywords=RC0603FR-0710KL</t>
  </si>
  <si>
    <t>https://www.digikey.com/en/products/result?keywords=RC0603FR-075R1L</t>
  </si>
  <si>
    <t>https://www.digikey.com/en/products/result?keywords=RC0603FR-074R7L</t>
  </si>
  <si>
    <t>https://www.digikey.com/en/products/result?keywords=RC0603JR-070RL</t>
  </si>
  <si>
    <t>https://www.digikey.com/en/products/result?keywords=RC0603FR-0733RL</t>
  </si>
  <si>
    <t>https://www.digikey.com/en/products/result?keywords=RC0603FR-07100KL</t>
  </si>
  <si>
    <t>https://www.digikey.com/en/products/result?keywords=RC0603FR-071KL</t>
  </si>
  <si>
    <t>https://www.digikey.com/en/products/result?keywords=RC0603FR-072KL</t>
  </si>
  <si>
    <t>https://www.digikey.com/en/products/result?keywords=RC0603FR-075K1L</t>
  </si>
  <si>
    <t>https://www.digikey.com/en/products/result?keywords=1825910-6</t>
  </si>
  <si>
    <t>https://www.digikey.com/en/products/detail/c-k/PTS810SJM250SMTR-LFS/4176610</t>
  </si>
  <si>
    <t>https://www.digikey.com/en/products/detail/c-k/SDA01H1SBD/2263273</t>
  </si>
  <si>
    <t>https://www.digikey.com/en/products/detail/espressif-systems/esp32-s3-wroom-1-n16/16162647</t>
  </si>
  <si>
    <t>https://www.digikey.com/en/products/detail/diodes-incorporated/ap2112k-3-3trg1/4470746</t>
  </si>
  <si>
    <t>https://www.digikey.com/en/products/detail/microchip-technology/MCP73831T-2ACI-OT/964301</t>
  </si>
  <si>
    <t>https://www.digikey.com/en/products/detail/goodwork/usblc6-2sc6/29515591</t>
  </si>
  <si>
    <t>Capacitors + Resistors</t>
  </si>
  <si>
    <t>Just approx</t>
  </si>
  <si>
    <t>Total</t>
  </si>
  <si>
    <t>TC33X-2-203E</t>
  </si>
  <si>
    <t>https://www.digikey.com/en/products/detail/bourns-inc/TC33X-2-203E/2566887</t>
  </si>
  <si>
    <t>https://www.lcsc.com/product-detail/C365736.html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</si>
</sst>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4" fontId="0" fillId="0" borderId="0" xfId="0" applyNumberForma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horizontal="left" vertical="center" indent="1"/>
    </xf>
    <xf numFmtId="49" fontId="2" fillId="2" borderId="3" xfId="0" applyNumberFormat="1" applyFont="1" applyFill="1" applyBorder="1" applyAlignment="1">
      <alignment horizontal="left" vertical="center" indent="1"/>
    </xf>
    <xf numFmtId="0" fontId="1" fillId="0" borderId="4" xfId="0" applyFont="1" applyBorder="1" applyAlignment="1">
      <alignment vertical="center" wrapText="1"/>
    </xf>
    <xf numFmtId="1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0" fillId="0" borderId="5" xfId="0" applyFill="1" applyBorder="1"/>
    <xf numFmtId="49" fontId="3" fillId="0" borderId="6" xfId="1" applyNumberFormat="1" applyBorder="1"/>
    <xf numFmtId="0" fontId="4" fillId="0" borderId="5" xfId="0" applyFont="1" applyBorder="1" applyAlignment="1">
      <alignment vertical="center"/>
    </xf>
    <xf numFmtId="49" fontId="0" fillId="0" borderId="6" xfId="0" applyNumberFormat="1" applyBorder="1"/>
    <xf numFmtId="0" fontId="4" fillId="0" borderId="5" xfId="0" applyFont="1" applyBorder="1" applyAlignment="1">
      <alignment vertical="center" wrapText="1"/>
    </xf>
    <xf numFmtId="0" fontId="3" fillId="0" borderId="6" xfId="1" applyBorder="1"/>
    <xf numFmtId="0" fontId="4" fillId="0" borderId="5" xfId="0" applyFont="1" applyBorder="1" applyAlignment="1">
      <alignment horizontal="right" vertical="center"/>
    </xf>
    <xf numFmtId="0" fontId="4" fillId="0" borderId="4" xfId="0" applyFont="1" applyBorder="1" applyAlignment="1">
      <alignment vertical="center" wrapText="1"/>
    </xf>
    <xf numFmtId="1" fontId="4" fillId="0" borderId="5" xfId="0" applyNumberFormat="1" applyFont="1" applyBorder="1" applyAlignment="1">
      <alignment vertical="center"/>
    </xf>
    <xf numFmtId="4" fontId="0" fillId="0" borderId="5" xfId="0" applyNumberFormat="1" applyBorder="1"/>
    <xf numFmtId="164" fontId="4" fillId="0" borderId="5" xfId="0" applyNumberFormat="1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6" fillId="0" borderId="7" xfId="0" applyFont="1" applyBorder="1" applyAlignment="1">
      <alignment vertical="center" wrapText="1"/>
    </xf>
    <xf numFmtId="0" fontId="0" fillId="0" borderId="8" xfId="0" applyBorder="1"/>
    <xf numFmtId="4" fontId="0" fillId="0" borderId="8" xfId="0" applyNumberFormat="1" applyBorder="1"/>
    <xf numFmtId="164" fontId="5" fillId="0" borderId="8" xfId="0" applyNumberFormat="1" applyFont="1" applyBorder="1"/>
    <xf numFmtId="0" fontId="0" fillId="0" borderId="9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3F5BDD-EE33-46CA-A34A-08CBA9C3A84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4885c40-4477-495f-bfaa-03ec6fe0219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result?keywords=RC0603JR-070RL" TargetMode="External"/><Relationship Id="rId18" Type="http://schemas.openxmlformats.org/officeDocument/2006/relationships/hyperlink" Target="https://www.digikey.com/en/products/result?keywords=RC0603FR-075K1L" TargetMode="External"/><Relationship Id="rId26" Type="http://schemas.openxmlformats.org/officeDocument/2006/relationships/hyperlink" Target="https://www.digikey.com/en/products/detail/c-k/PTS810SJM250SMTR-LFS/4176610" TargetMode="External"/><Relationship Id="rId21" Type="http://schemas.openxmlformats.org/officeDocument/2006/relationships/hyperlink" Target="https://www.digikey.com/en/products/result?keywords=1825910-6" TargetMode="External"/><Relationship Id="rId34" Type="http://schemas.openxmlformats.org/officeDocument/2006/relationships/hyperlink" Target="https://www.digikey.com/en/products/detail/goodwork/usblc6-2sc6/29515591" TargetMode="External"/><Relationship Id="rId7" Type="http://schemas.openxmlformats.org/officeDocument/2006/relationships/hyperlink" Target="https://www.digikey.com/en/products/result?keywords=STX-3000" TargetMode="External"/><Relationship Id="rId12" Type="http://schemas.openxmlformats.org/officeDocument/2006/relationships/hyperlink" Target="https://www.digikey.com/en/products/result?keywords=RC0603FR-074R7L" TargetMode="External"/><Relationship Id="rId17" Type="http://schemas.openxmlformats.org/officeDocument/2006/relationships/hyperlink" Target="https://www.digikey.com/en/products/result?keywords=RC0603FR-072KL" TargetMode="External"/><Relationship Id="rId25" Type="http://schemas.openxmlformats.org/officeDocument/2006/relationships/hyperlink" Target="https://www.digikey.com/en/products/result?keywords=1825910-6" TargetMode="External"/><Relationship Id="rId33" Type="http://schemas.openxmlformats.org/officeDocument/2006/relationships/hyperlink" Target="https://www.digikey.com/en/products/detail/microchip-technology/MCP73831T-2ACI-OT/964301" TargetMode="External"/><Relationship Id="rId2" Type="http://schemas.openxmlformats.org/officeDocument/2006/relationships/hyperlink" Target="https://www.digikey.com/en/products/result?keywords=CL10A105KB8NNNC" TargetMode="External"/><Relationship Id="rId16" Type="http://schemas.openxmlformats.org/officeDocument/2006/relationships/hyperlink" Target="https://www.digikey.com/en/products/result?keywords=RC0603FR-071KL" TargetMode="External"/><Relationship Id="rId20" Type="http://schemas.openxmlformats.org/officeDocument/2006/relationships/hyperlink" Target="https://www.digikey.com/en/products/result?keywords=1825910-6" TargetMode="External"/><Relationship Id="rId29" Type="http://schemas.openxmlformats.org/officeDocument/2006/relationships/hyperlink" Target="https://www.digikey.com/en/products/result?keywords=1825910-6" TargetMode="External"/><Relationship Id="rId1" Type="http://schemas.openxmlformats.org/officeDocument/2006/relationships/hyperlink" Target="https://www.digikey.com/en/products/result?keywords=CL21A226MAQNNNE" TargetMode="External"/><Relationship Id="rId6" Type="http://schemas.openxmlformats.org/officeDocument/2006/relationships/hyperlink" Target="https://www.digikey.com/en/products/detail/w%C3%BCrth-elektronik/150060VS55040/8557182" TargetMode="External"/><Relationship Id="rId11" Type="http://schemas.openxmlformats.org/officeDocument/2006/relationships/hyperlink" Target="https://www.digikey.com/en/products/result?keywords=RC0603FR-075R1L" TargetMode="External"/><Relationship Id="rId24" Type="http://schemas.openxmlformats.org/officeDocument/2006/relationships/hyperlink" Target="https://www.digikey.com/en/products/result?keywords=1825910-6" TargetMode="External"/><Relationship Id="rId32" Type="http://schemas.openxmlformats.org/officeDocument/2006/relationships/hyperlink" Target="https://www.digikey.com/en/products/detail/diodes-incorporated/ap2112k-3-3trg1/4470746" TargetMode="External"/><Relationship Id="rId37" Type="http://schemas.openxmlformats.org/officeDocument/2006/relationships/hyperlink" Target="https://www.lcsc.com/product-detail/C365736.html" TargetMode="External"/><Relationship Id="rId5" Type="http://schemas.openxmlformats.org/officeDocument/2006/relationships/hyperlink" Target="https://www.digikey.com/en/products/result?keywords=CL21A475KAQNNNE" TargetMode="External"/><Relationship Id="rId15" Type="http://schemas.openxmlformats.org/officeDocument/2006/relationships/hyperlink" Target="https://www.digikey.com/en/products/result?keywords=RC0603FR-07100KL" TargetMode="External"/><Relationship Id="rId23" Type="http://schemas.openxmlformats.org/officeDocument/2006/relationships/hyperlink" Target="https://www.digikey.com/en/products/result?keywords=1825910-6" TargetMode="External"/><Relationship Id="rId28" Type="http://schemas.openxmlformats.org/officeDocument/2006/relationships/hyperlink" Target="https://www.digikey.com/en/products/detail/c-k/SDA01H1SBD/2263273" TargetMode="External"/><Relationship Id="rId36" Type="http://schemas.openxmlformats.org/officeDocument/2006/relationships/hyperlink" Target="https://www.digikey.com/en/products/detail/bourns-inc/TC33X-2-203E/2566887" TargetMode="External"/><Relationship Id="rId10" Type="http://schemas.openxmlformats.org/officeDocument/2006/relationships/hyperlink" Target="https://www.digikey.com/en/products/result?keywords=RC0603FR-0710KL" TargetMode="External"/><Relationship Id="rId19" Type="http://schemas.openxmlformats.org/officeDocument/2006/relationships/hyperlink" Target="https://www.digikey.com/en/products/result?keywords=1825910-6" TargetMode="External"/><Relationship Id="rId31" Type="http://schemas.openxmlformats.org/officeDocument/2006/relationships/hyperlink" Target="https://www.digikey.com/en/products/detail/espressif-systems/esp32-s3-wroom-1-n16/16162647" TargetMode="External"/><Relationship Id="rId4" Type="http://schemas.openxmlformats.org/officeDocument/2006/relationships/hyperlink" Target="https://www.digikey.com/en/products/result?keywords=EEE-FK0J221P" TargetMode="External"/><Relationship Id="rId9" Type="http://schemas.openxmlformats.org/officeDocument/2006/relationships/hyperlink" Target="https://www.digikey.com/en/products/detail/w%C3%BCrth-elektronik/693072010801/3124584?s=N4IgTCBcDaIGwE4DMAGA7GFBGFAObIAugL5A" TargetMode="External"/><Relationship Id="rId14" Type="http://schemas.openxmlformats.org/officeDocument/2006/relationships/hyperlink" Target="https://www.digikey.com/en/products/result?keywords=RC0603FR-0733RL" TargetMode="External"/><Relationship Id="rId22" Type="http://schemas.openxmlformats.org/officeDocument/2006/relationships/hyperlink" Target="https://www.digikey.com/en/products/result?keywords=1825910-6" TargetMode="External"/><Relationship Id="rId27" Type="http://schemas.openxmlformats.org/officeDocument/2006/relationships/hyperlink" Target="https://www.digikey.com/en/products/detail/c-k/PTS810SJM250SMTR-LFS/4176610" TargetMode="External"/><Relationship Id="rId30" Type="http://schemas.openxmlformats.org/officeDocument/2006/relationships/hyperlink" Target="https://www.digikey.com/en/products/result?keywords=1825910-6" TargetMode="External"/><Relationship Id="rId35" Type="http://schemas.openxmlformats.org/officeDocument/2006/relationships/hyperlink" Target="https://www.digikey.com/en/products/result?keywords=GRM188R71H104KA93D" TargetMode="External"/><Relationship Id="rId8" Type="http://schemas.openxmlformats.org/officeDocument/2006/relationships/hyperlink" Target="https://www.digikey.com/en/products/detail/amphenol-cs-commercial-products/124019772112A/13683231" TargetMode="External"/><Relationship Id="rId3" Type="http://schemas.openxmlformats.org/officeDocument/2006/relationships/hyperlink" Target="https://www.digikey.com/en/products/result?keywords=CL21A106KAYNN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A7A5-3BC5-40BE-8DF8-56B7B66FD411}">
  <dimension ref="A1:I43"/>
  <sheetViews>
    <sheetView tabSelected="1" workbookViewId="0">
      <pane ySplit="1" topLeftCell="A2" activePane="bottomLeft" state="frozen"/>
      <selection pane="bottomLeft" activeCell="I44" sqref="I44"/>
    </sheetView>
  </sheetViews>
  <sheetFormatPr defaultRowHeight="15" x14ac:dyDescent="0.25"/>
  <cols>
    <col min="1" max="1" width="28.42578125" bestFit="1" customWidth="1"/>
    <col min="2" max="2" width="4.140625" bestFit="1" customWidth="1"/>
    <col min="3" max="3" width="19.140625" bestFit="1" customWidth="1"/>
    <col min="4" max="4" width="7.5703125" customWidth="1"/>
    <col min="5" max="5" width="15.28515625" style="1" customWidth="1"/>
    <col min="6" max="6" width="15.28515625" customWidth="1"/>
    <col min="7" max="7" width="63.28515625" customWidth="1"/>
    <col min="8" max="8" width="23.140625" bestFit="1" customWidth="1"/>
    <col min="9" max="9" width="128.7109375" bestFit="1" customWidth="1"/>
  </cols>
  <sheetData>
    <row r="1" spans="1:9" ht="15.75" thickTop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 t="s">
        <v>119</v>
      </c>
      <c r="I1" s="6" t="s">
        <v>7</v>
      </c>
    </row>
    <row r="2" spans="1:9" x14ac:dyDescent="0.25">
      <c r="A2" s="7" t="s">
        <v>8</v>
      </c>
      <c r="B2" s="8">
        <v>1</v>
      </c>
      <c r="C2" s="9">
        <v>22</v>
      </c>
      <c r="D2" s="10" t="s">
        <v>9</v>
      </c>
      <c r="E2" s="11">
        <v>0</v>
      </c>
      <c r="F2" s="11">
        <f>B2*E2</f>
        <v>0</v>
      </c>
      <c r="G2" s="10" t="s">
        <v>76</v>
      </c>
      <c r="H2" s="12" t="s">
        <v>77</v>
      </c>
      <c r="I2" s="13" t="s">
        <v>120</v>
      </c>
    </row>
    <row r="3" spans="1:9" x14ac:dyDescent="0.25">
      <c r="A3" s="7" t="s">
        <v>10</v>
      </c>
      <c r="B3" s="8">
        <v>6</v>
      </c>
      <c r="C3" s="9">
        <v>100</v>
      </c>
      <c r="D3" s="10" t="s">
        <v>11</v>
      </c>
      <c r="E3" s="11">
        <v>0</v>
      </c>
      <c r="F3" s="11">
        <f>B3*E3</f>
        <v>0</v>
      </c>
      <c r="G3" s="10" t="s">
        <v>78</v>
      </c>
      <c r="H3" s="12" t="s">
        <v>79</v>
      </c>
      <c r="I3" s="13" t="s">
        <v>121</v>
      </c>
    </row>
    <row r="4" spans="1:9" x14ac:dyDescent="0.25">
      <c r="A4" s="7" t="s">
        <v>12</v>
      </c>
      <c r="B4" s="8">
        <v>6</v>
      </c>
      <c r="C4" s="9">
        <v>1</v>
      </c>
      <c r="D4" s="10" t="s">
        <v>9</v>
      </c>
      <c r="E4" s="11">
        <v>0</v>
      </c>
      <c r="F4" s="11">
        <f t="shared" ref="F2:F41" si="0">B4*E4</f>
        <v>0</v>
      </c>
      <c r="G4" s="10" t="s">
        <v>78</v>
      </c>
      <c r="H4" s="12" t="s">
        <v>80</v>
      </c>
      <c r="I4" s="13" t="s">
        <v>122</v>
      </c>
    </row>
    <row r="5" spans="1:9" x14ac:dyDescent="0.25">
      <c r="A5" s="7" t="s">
        <v>13</v>
      </c>
      <c r="B5" s="8">
        <v>5</v>
      </c>
      <c r="C5" s="9">
        <v>10</v>
      </c>
      <c r="D5" s="10" t="s">
        <v>9</v>
      </c>
      <c r="E5" s="11">
        <v>0</v>
      </c>
      <c r="F5" s="11">
        <f t="shared" si="0"/>
        <v>0</v>
      </c>
      <c r="G5" s="10" t="s">
        <v>76</v>
      </c>
      <c r="H5" s="12" t="s">
        <v>81</v>
      </c>
      <c r="I5" s="13" t="s">
        <v>123</v>
      </c>
    </row>
    <row r="6" spans="1:9" x14ac:dyDescent="0.25">
      <c r="A6" s="7" t="s">
        <v>14</v>
      </c>
      <c r="B6" s="8">
        <v>2</v>
      </c>
      <c r="C6" s="9">
        <v>220</v>
      </c>
      <c r="D6" s="10" t="s">
        <v>9</v>
      </c>
      <c r="E6" s="11">
        <v>0</v>
      </c>
      <c r="F6" s="11">
        <f t="shared" si="0"/>
        <v>0</v>
      </c>
      <c r="G6" s="10" t="s">
        <v>82</v>
      </c>
      <c r="H6" s="12" t="s">
        <v>83</v>
      </c>
      <c r="I6" s="13" t="s">
        <v>124</v>
      </c>
    </row>
    <row r="7" spans="1:9" x14ac:dyDescent="0.25">
      <c r="A7" s="7" t="s">
        <v>15</v>
      </c>
      <c r="B7" s="8">
        <v>2</v>
      </c>
      <c r="C7" s="9">
        <v>4.7</v>
      </c>
      <c r="D7" s="10" t="s">
        <v>9</v>
      </c>
      <c r="E7" s="11">
        <v>0</v>
      </c>
      <c r="F7" s="11">
        <f t="shared" si="0"/>
        <v>0</v>
      </c>
      <c r="G7" s="10" t="s">
        <v>76</v>
      </c>
      <c r="H7" s="12" t="s">
        <v>84</v>
      </c>
      <c r="I7" s="13" t="s">
        <v>125</v>
      </c>
    </row>
    <row r="8" spans="1:9" x14ac:dyDescent="0.25">
      <c r="A8" s="7" t="s">
        <v>16</v>
      </c>
      <c r="B8" s="8">
        <v>1</v>
      </c>
      <c r="C8" s="9" t="s">
        <v>17</v>
      </c>
      <c r="D8" s="10" t="s">
        <v>18</v>
      </c>
      <c r="E8" s="11">
        <v>0.19</v>
      </c>
      <c r="F8" s="11">
        <f t="shared" si="0"/>
        <v>0.19</v>
      </c>
      <c r="G8" s="10" t="s">
        <v>85</v>
      </c>
      <c r="H8" s="12" t="s">
        <v>111</v>
      </c>
      <c r="I8" s="13" t="s">
        <v>126</v>
      </c>
    </row>
    <row r="9" spans="1:9" x14ac:dyDescent="0.25">
      <c r="A9" s="7" t="s">
        <v>19</v>
      </c>
      <c r="B9" s="8">
        <v>1</v>
      </c>
      <c r="C9" s="9" t="s">
        <v>20</v>
      </c>
      <c r="D9" s="10" t="s">
        <v>18</v>
      </c>
      <c r="E9" s="11">
        <v>0.68</v>
      </c>
      <c r="F9" s="11">
        <f t="shared" si="0"/>
        <v>0.68</v>
      </c>
      <c r="G9" s="10" t="s">
        <v>86</v>
      </c>
      <c r="H9" s="12" t="s">
        <v>87</v>
      </c>
      <c r="I9" s="13" t="s">
        <v>127</v>
      </c>
    </row>
    <row r="10" spans="1:9" x14ac:dyDescent="0.25">
      <c r="A10" s="7" t="s">
        <v>21</v>
      </c>
      <c r="B10" s="8">
        <v>1</v>
      </c>
      <c r="C10" s="9" t="s">
        <v>22</v>
      </c>
      <c r="D10" s="10" t="s">
        <v>18</v>
      </c>
      <c r="E10" s="11">
        <v>0</v>
      </c>
      <c r="F10" s="11">
        <f t="shared" si="0"/>
        <v>0</v>
      </c>
      <c r="G10" s="14" t="s">
        <v>88</v>
      </c>
      <c r="H10" s="12" t="s">
        <v>18</v>
      </c>
      <c r="I10" s="15" t="s">
        <v>128</v>
      </c>
    </row>
    <row r="11" spans="1:9" x14ac:dyDescent="0.25">
      <c r="A11" s="7" t="s">
        <v>23</v>
      </c>
      <c r="B11" s="8">
        <v>1</v>
      </c>
      <c r="C11" s="9" t="s">
        <v>24</v>
      </c>
      <c r="D11" s="10" t="s">
        <v>18</v>
      </c>
      <c r="E11" s="11">
        <v>2.35</v>
      </c>
      <c r="F11" s="11">
        <f t="shared" si="0"/>
        <v>2.35</v>
      </c>
      <c r="G11" s="14" t="s">
        <v>89</v>
      </c>
      <c r="H11" s="12" t="s">
        <v>112</v>
      </c>
      <c r="I11" s="13" t="s">
        <v>129</v>
      </c>
    </row>
    <row r="12" spans="1:9" x14ac:dyDescent="0.25">
      <c r="A12" s="7" t="s">
        <v>25</v>
      </c>
      <c r="B12" s="8">
        <v>1</v>
      </c>
      <c r="C12" s="9" t="s">
        <v>26</v>
      </c>
      <c r="D12" s="10" t="s">
        <v>18</v>
      </c>
      <c r="E12" s="11">
        <v>3.41</v>
      </c>
      <c r="F12" s="11">
        <f t="shared" si="0"/>
        <v>3.41</v>
      </c>
      <c r="G12" s="14" t="s">
        <v>90</v>
      </c>
      <c r="H12" s="12" t="s">
        <v>113</v>
      </c>
      <c r="I12" s="13" t="s">
        <v>130</v>
      </c>
    </row>
    <row r="13" spans="1:9" x14ac:dyDescent="0.25">
      <c r="A13" s="7" t="s">
        <v>27</v>
      </c>
      <c r="B13" s="8">
        <v>1</v>
      </c>
      <c r="C13" s="9" t="s">
        <v>28</v>
      </c>
      <c r="D13" s="10" t="s">
        <v>18</v>
      </c>
      <c r="E13" s="11">
        <v>0</v>
      </c>
      <c r="F13" s="11">
        <f t="shared" si="0"/>
        <v>0</v>
      </c>
      <c r="G13" s="10" t="s">
        <v>91</v>
      </c>
      <c r="H13" s="12" t="s">
        <v>18</v>
      </c>
      <c r="I13" s="15" t="s">
        <v>128</v>
      </c>
    </row>
    <row r="14" spans="1:9" ht="30" x14ac:dyDescent="0.25">
      <c r="A14" s="7" t="s">
        <v>29</v>
      </c>
      <c r="B14" s="8">
        <v>11</v>
      </c>
      <c r="C14" s="9">
        <v>10</v>
      </c>
      <c r="D14" s="10" t="s">
        <v>30</v>
      </c>
      <c r="E14" s="11">
        <v>0</v>
      </c>
      <c r="F14" s="11">
        <f t="shared" si="0"/>
        <v>0</v>
      </c>
      <c r="G14" s="10" t="s">
        <v>92</v>
      </c>
      <c r="H14" s="12" t="s">
        <v>93</v>
      </c>
      <c r="I14" s="13" t="s">
        <v>131</v>
      </c>
    </row>
    <row r="15" spans="1:9" x14ac:dyDescent="0.25">
      <c r="A15" s="7" t="s">
        <v>31</v>
      </c>
      <c r="B15" s="8">
        <v>1</v>
      </c>
      <c r="C15" s="9">
        <v>5.0999999999999996</v>
      </c>
      <c r="D15" s="10" t="s">
        <v>32</v>
      </c>
      <c r="E15" s="11">
        <v>0</v>
      </c>
      <c r="F15" s="11">
        <f t="shared" si="0"/>
        <v>0</v>
      </c>
      <c r="G15" s="10" t="s">
        <v>92</v>
      </c>
      <c r="H15" s="12" t="s">
        <v>94</v>
      </c>
      <c r="I15" s="13" t="s">
        <v>132</v>
      </c>
    </row>
    <row r="16" spans="1:9" x14ac:dyDescent="0.25">
      <c r="A16" s="7" t="s">
        <v>33</v>
      </c>
      <c r="B16" s="8">
        <v>1</v>
      </c>
      <c r="C16" s="9">
        <v>4.7</v>
      </c>
      <c r="D16" s="10" t="s">
        <v>32</v>
      </c>
      <c r="E16" s="11">
        <v>0</v>
      </c>
      <c r="F16" s="11">
        <f t="shared" si="0"/>
        <v>0</v>
      </c>
      <c r="G16" s="10" t="s">
        <v>92</v>
      </c>
      <c r="H16" s="12" t="s">
        <v>95</v>
      </c>
      <c r="I16" s="13" t="s">
        <v>133</v>
      </c>
    </row>
    <row r="17" spans="1:9" x14ac:dyDescent="0.25">
      <c r="A17" s="7" t="s">
        <v>34</v>
      </c>
      <c r="B17" s="8">
        <v>1</v>
      </c>
      <c r="C17" s="9">
        <v>0</v>
      </c>
      <c r="D17" s="10" t="s">
        <v>32</v>
      </c>
      <c r="E17" s="11">
        <v>0</v>
      </c>
      <c r="F17" s="11">
        <f t="shared" si="0"/>
        <v>0</v>
      </c>
      <c r="G17" s="10" t="s">
        <v>92</v>
      </c>
      <c r="H17" s="12" t="s">
        <v>96</v>
      </c>
      <c r="I17" s="13" t="s">
        <v>134</v>
      </c>
    </row>
    <row r="18" spans="1:9" x14ac:dyDescent="0.25">
      <c r="A18" s="7" t="s">
        <v>35</v>
      </c>
      <c r="B18" s="8">
        <v>4</v>
      </c>
      <c r="C18" s="9">
        <v>33</v>
      </c>
      <c r="D18" s="10" t="s">
        <v>32</v>
      </c>
      <c r="E18" s="11">
        <v>0</v>
      </c>
      <c r="F18" s="11">
        <f t="shared" si="0"/>
        <v>0</v>
      </c>
      <c r="G18" s="10" t="s">
        <v>92</v>
      </c>
      <c r="H18" s="12" t="s">
        <v>97</v>
      </c>
      <c r="I18" s="13" t="s">
        <v>135</v>
      </c>
    </row>
    <row r="19" spans="1:9" x14ac:dyDescent="0.25">
      <c r="A19" s="7" t="s">
        <v>36</v>
      </c>
      <c r="B19" s="8">
        <v>2</v>
      </c>
      <c r="C19" s="9">
        <v>100</v>
      </c>
      <c r="D19" s="10" t="s">
        <v>30</v>
      </c>
      <c r="E19" s="11">
        <v>0</v>
      </c>
      <c r="F19" s="11">
        <f t="shared" si="0"/>
        <v>0</v>
      </c>
      <c r="G19" s="10" t="s">
        <v>92</v>
      </c>
      <c r="H19" s="12" t="s">
        <v>98</v>
      </c>
      <c r="I19" s="13" t="s">
        <v>136</v>
      </c>
    </row>
    <row r="20" spans="1:9" x14ac:dyDescent="0.25">
      <c r="A20" s="7" t="s">
        <v>37</v>
      </c>
      <c r="B20" s="8">
        <v>1</v>
      </c>
      <c r="C20" s="9">
        <v>1</v>
      </c>
      <c r="D20" s="10" t="s">
        <v>30</v>
      </c>
      <c r="E20" s="11">
        <v>0</v>
      </c>
      <c r="F20" s="11">
        <f t="shared" si="0"/>
        <v>0</v>
      </c>
      <c r="G20" s="10" t="s">
        <v>92</v>
      </c>
      <c r="H20" s="12" t="s">
        <v>99</v>
      </c>
      <c r="I20" s="13" t="s">
        <v>137</v>
      </c>
    </row>
    <row r="21" spans="1:9" x14ac:dyDescent="0.25">
      <c r="A21" s="7" t="s">
        <v>38</v>
      </c>
      <c r="B21" s="8">
        <v>1</v>
      </c>
      <c r="C21" s="9">
        <v>2</v>
      </c>
      <c r="D21" s="10" t="s">
        <v>30</v>
      </c>
      <c r="E21" s="11">
        <v>0</v>
      </c>
      <c r="F21" s="11">
        <f t="shared" si="0"/>
        <v>0</v>
      </c>
      <c r="G21" s="10" t="s">
        <v>92</v>
      </c>
      <c r="H21" s="12" t="s">
        <v>100</v>
      </c>
      <c r="I21" s="13" t="s">
        <v>138</v>
      </c>
    </row>
    <row r="22" spans="1:9" x14ac:dyDescent="0.25">
      <c r="A22" s="7" t="s">
        <v>39</v>
      </c>
      <c r="B22" s="8">
        <v>2</v>
      </c>
      <c r="C22" s="9">
        <v>5.0999999999999996</v>
      </c>
      <c r="D22" s="10" t="s">
        <v>30</v>
      </c>
      <c r="E22" s="11">
        <v>0</v>
      </c>
      <c r="F22" s="11">
        <f t="shared" si="0"/>
        <v>0</v>
      </c>
      <c r="G22" s="10" t="s">
        <v>92</v>
      </c>
      <c r="H22" s="12" t="s">
        <v>101</v>
      </c>
      <c r="I22" s="13" t="s">
        <v>139</v>
      </c>
    </row>
    <row r="23" spans="1:9" x14ac:dyDescent="0.25">
      <c r="A23" s="7" t="s">
        <v>40</v>
      </c>
      <c r="B23" s="8">
        <v>1</v>
      </c>
      <c r="C23" s="9" t="s">
        <v>41</v>
      </c>
      <c r="D23" s="10" t="s">
        <v>18</v>
      </c>
      <c r="E23" s="11">
        <v>0.28000000000000003</v>
      </c>
      <c r="F23" s="11">
        <f t="shared" si="0"/>
        <v>0.28000000000000003</v>
      </c>
      <c r="G23" s="10" t="s">
        <v>102</v>
      </c>
      <c r="H23" s="12" t="s">
        <v>150</v>
      </c>
      <c r="I23" s="13" t="s">
        <v>151</v>
      </c>
    </row>
    <row r="24" spans="1:9" x14ac:dyDescent="0.25">
      <c r="A24" s="7" t="s">
        <v>42</v>
      </c>
      <c r="B24" s="8">
        <v>1</v>
      </c>
      <c r="C24" s="9" t="s">
        <v>43</v>
      </c>
      <c r="D24" s="10" t="s">
        <v>18</v>
      </c>
      <c r="E24" s="11">
        <v>0.1</v>
      </c>
      <c r="F24" s="11">
        <f t="shared" si="0"/>
        <v>0.1</v>
      </c>
      <c r="G24" s="10" t="s">
        <v>103</v>
      </c>
      <c r="H24" s="12" t="s">
        <v>104</v>
      </c>
      <c r="I24" s="13" t="s">
        <v>140</v>
      </c>
    </row>
    <row r="25" spans="1:9" x14ac:dyDescent="0.25">
      <c r="A25" s="7" t="s">
        <v>44</v>
      </c>
      <c r="B25" s="8">
        <v>1</v>
      </c>
      <c r="C25" s="9" t="s">
        <v>45</v>
      </c>
      <c r="D25" s="10" t="s">
        <v>18</v>
      </c>
      <c r="E25" s="11">
        <v>0.1</v>
      </c>
      <c r="F25" s="11">
        <f t="shared" si="0"/>
        <v>0.1</v>
      </c>
      <c r="G25" s="10" t="s">
        <v>103</v>
      </c>
      <c r="H25" s="12" t="s">
        <v>104</v>
      </c>
      <c r="I25" s="13" t="s">
        <v>140</v>
      </c>
    </row>
    <row r="26" spans="1:9" x14ac:dyDescent="0.25">
      <c r="A26" s="7" t="s">
        <v>46</v>
      </c>
      <c r="B26" s="8">
        <v>1</v>
      </c>
      <c r="C26" s="9" t="s">
        <v>47</v>
      </c>
      <c r="D26" s="10" t="s">
        <v>18</v>
      </c>
      <c r="E26" s="11">
        <v>0.1</v>
      </c>
      <c r="F26" s="11">
        <f t="shared" si="0"/>
        <v>0.1</v>
      </c>
      <c r="G26" s="10" t="s">
        <v>103</v>
      </c>
      <c r="H26" s="12" t="s">
        <v>104</v>
      </c>
      <c r="I26" s="13" t="s">
        <v>140</v>
      </c>
    </row>
    <row r="27" spans="1:9" x14ac:dyDescent="0.25">
      <c r="A27" s="7" t="s">
        <v>48</v>
      </c>
      <c r="B27" s="8">
        <v>1</v>
      </c>
      <c r="C27" s="9" t="s">
        <v>49</v>
      </c>
      <c r="D27" s="10" t="s">
        <v>18</v>
      </c>
      <c r="E27" s="11">
        <v>0.1</v>
      </c>
      <c r="F27" s="11">
        <f t="shared" si="0"/>
        <v>0.1</v>
      </c>
      <c r="G27" s="10" t="s">
        <v>103</v>
      </c>
      <c r="H27" s="12" t="s">
        <v>104</v>
      </c>
      <c r="I27" s="13" t="s">
        <v>140</v>
      </c>
    </row>
    <row r="28" spans="1:9" x14ac:dyDescent="0.25">
      <c r="A28" s="7" t="s">
        <v>50</v>
      </c>
      <c r="B28" s="8">
        <v>1</v>
      </c>
      <c r="C28" s="9" t="s">
        <v>51</v>
      </c>
      <c r="D28" s="10" t="s">
        <v>18</v>
      </c>
      <c r="E28" s="11">
        <v>0.1</v>
      </c>
      <c r="F28" s="11">
        <f t="shared" si="0"/>
        <v>0.1</v>
      </c>
      <c r="G28" s="10" t="s">
        <v>103</v>
      </c>
      <c r="H28" s="12" t="s">
        <v>104</v>
      </c>
      <c r="I28" s="13" t="s">
        <v>140</v>
      </c>
    </row>
    <row r="29" spans="1:9" x14ac:dyDescent="0.25">
      <c r="A29" s="7" t="s">
        <v>52</v>
      </c>
      <c r="B29" s="8">
        <v>1</v>
      </c>
      <c r="C29" s="9" t="s">
        <v>53</v>
      </c>
      <c r="D29" s="10" t="s">
        <v>18</v>
      </c>
      <c r="E29" s="11">
        <v>0.1</v>
      </c>
      <c r="F29" s="11">
        <f t="shared" si="0"/>
        <v>0.1</v>
      </c>
      <c r="G29" s="10" t="s">
        <v>103</v>
      </c>
      <c r="H29" s="12" t="s">
        <v>104</v>
      </c>
      <c r="I29" s="13" t="s">
        <v>140</v>
      </c>
    </row>
    <row r="30" spans="1:9" x14ac:dyDescent="0.25">
      <c r="A30" s="7" t="s">
        <v>54</v>
      </c>
      <c r="B30" s="8">
        <v>1</v>
      </c>
      <c r="C30" s="9" t="s">
        <v>55</v>
      </c>
      <c r="D30" s="10" t="s">
        <v>18</v>
      </c>
      <c r="E30" s="11">
        <v>0.1</v>
      </c>
      <c r="F30" s="11">
        <f t="shared" si="0"/>
        <v>0.1</v>
      </c>
      <c r="G30" s="10" t="s">
        <v>103</v>
      </c>
      <c r="H30" s="12" t="s">
        <v>104</v>
      </c>
      <c r="I30" s="13" t="s">
        <v>140</v>
      </c>
    </row>
    <row r="31" spans="1:9" x14ac:dyDescent="0.25">
      <c r="A31" s="7" t="s">
        <v>56</v>
      </c>
      <c r="B31" s="8">
        <v>1</v>
      </c>
      <c r="C31" s="9" t="s">
        <v>57</v>
      </c>
      <c r="D31" s="10" t="s">
        <v>18</v>
      </c>
      <c r="E31" s="11">
        <v>0.57999999999999996</v>
      </c>
      <c r="F31" s="11">
        <f t="shared" si="0"/>
        <v>0.57999999999999996</v>
      </c>
      <c r="G31" s="14" t="s">
        <v>105</v>
      </c>
      <c r="H31" s="12" t="s">
        <v>114</v>
      </c>
      <c r="I31" s="13" t="s">
        <v>141</v>
      </c>
    </row>
    <row r="32" spans="1:9" x14ac:dyDescent="0.25">
      <c r="A32" s="7" t="s">
        <v>58</v>
      </c>
      <c r="B32" s="8">
        <v>1</v>
      </c>
      <c r="C32" s="9" t="s">
        <v>59</v>
      </c>
      <c r="D32" s="10" t="s">
        <v>18</v>
      </c>
      <c r="E32" s="11">
        <v>0.57999999999999996</v>
      </c>
      <c r="F32" s="11">
        <f t="shared" si="0"/>
        <v>0.57999999999999996</v>
      </c>
      <c r="G32" s="10" t="s">
        <v>105</v>
      </c>
      <c r="H32" s="12" t="s">
        <v>114</v>
      </c>
      <c r="I32" s="13" t="s">
        <v>141</v>
      </c>
    </row>
    <row r="33" spans="1:9" ht="30" x14ac:dyDescent="0.25">
      <c r="A33" s="7" t="s">
        <v>60</v>
      </c>
      <c r="B33" s="8">
        <v>1</v>
      </c>
      <c r="C33" s="9" t="s">
        <v>61</v>
      </c>
      <c r="D33" s="10" t="s">
        <v>18</v>
      </c>
      <c r="E33" s="11">
        <v>2.5099999999999998</v>
      </c>
      <c r="F33" s="11">
        <f t="shared" si="0"/>
        <v>2.5099999999999998</v>
      </c>
      <c r="G33" s="16" t="s">
        <v>106</v>
      </c>
      <c r="H33" s="12" t="s">
        <v>115</v>
      </c>
      <c r="I33" s="13" t="s">
        <v>142</v>
      </c>
    </row>
    <row r="34" spans="1:9" x14ac:dyDescent="0.25">
      <c r="A34" s="7" t="s">
        <v>62</v>
      </c>
      <c r="B34" s="8">
        <v>1</v>
      </c>
      <c r="C34" s="9" t="s">
        <v>63</v>
      </c>
      <c r="D34" s="10" t="s">
        <v>18</v>
      </c>
      <c r="E34" s="11">
        <v>0.1</v>
      </c>
      <c r="F34" s="11">
        <f t="shared" si="0"/>
        <v>0.1</v>
      </c>
      <c r="G34" s="10" t="s">
        <v>103</v>
      </c>
      <c r="H34" s="12" t="s">
        <v>104</v>
      </c>
      <c r="I34" s="13" t="s">
        <v>140</v>
      </c>
    </row>
    <row r="35" spans="1:9" x14ac:dyDescent="0.25">
      <c r="A35" s="7" t="s">
        <v>64</v>
      </c>
      <c r="B35" s="8">
        <v>1</v>
      </c>
      <c r="C35" s="9" t="s">
        <v>65</v>
      </c>
      <c r="D35" s="10" t="s">
        <v>18</v>
      </c>
      <c r="E35" s="11">
        <v>0.1</v>
      </c>
      <c r="F35" s="11">
        <f t="shared" si="0"/>
        <v>0.1</v>
      </c>
      <c r="G35" s="10" t="s">
        <v>103</v>
      </c>
      <c r="H35" s="12" t="s">
        <v>104</v>
      </c>
      <c r="I35" s="13" t="s">
        <v>140</v>
      </c>
    </row>
    <row r="36" spans="1:9" x14ac:dyDescent="0.25">
      <c r="A36" s="7" t="s">
        <v>66</v>
      </c>
      <c r="B36" s="8">
        <v>1</v>
      </c>
      <c r="C36" s="9" t="s">
        <v>67</v>
      </c>
      <c r="D36" s="10" t="s">
        <v>18</v>
      </c>
      <c r="E36" s="11">
        <v>6.1</v>
      </c>
      <c r="F36" s="11">
        <f t="shared" si="0"/>
        <v>6.1</v>
      </c>
      <c r="G36" s="14" t="s">
        <v>107</v>
      </c>
      <c r="H36" s="12" t="s">
        <v>116</v>
      </c>
      <c r="I36" s="13" t="s">
        <v>143</v>
      </c>
    </row>
    <row r="37" spans="1:9" x14ac:dyDescent="0.25">
      <c r="A37" s="7" t="s">
        <v>68</v>
      </c>
      <c r="B37" s="8">
        <v>1</v>
      </c>
      <c r="C37" s="9" t="s">
        <v>69</v>
      </c>
      <c r="D37" s="10" t="s">
        <v>18</v>
      </c>
      <c r="E37" s="11">
        <v>1.1200000000000001</v>
      </c>
      <c r="F37" s="11">
        <f t="shared" si="0"/>
        <v>1.1200000000000001</v>
      </c>
      <c r="G37" s="10" t="s">
        <v>108</v>
      </c>
      <c r="H37" s="12" t="s">
        <v>69</v>
      </c>
      <c r="I37" s="17" t="s">
        <v>152</v>
      </c>
    </row>
    <row r="38" spans="1:9" x14ac:dyDescent="0.25">
      <c r="A38" s="7" t="s">
        <v>70</v>
      </c>
      <c r="B38" s="8">
        <v>1</v>
      </c>
      <c r="C38" s="18" t="s">
        <v>71</v>
      </c>
      <c r="D38" s="10" t="s">
        <v>18</v>
      </c>
      <c r="E38" s="11">
        <v>0.28000000000000003</v>
      </c>
      <c r="F38" s="11">
        <f t="shared" si="0"/>
        <v>0.28000000000000003</v>
      </c>
      <c r="G38" s="10" t="s">
        <v>109</v>
      </c>
      <c r="H38" s="12" t="s">
        <v>117</v>
      </c>
      <c r="I38" s="13" t="s">
        <v>144</v>
      </c>
    </row>
    <row r="39" spans="1:9" x14ac:dyDescent="0.25">
      <c r="A39" s="7" t="s">
        <v>72</v>
      </c>
      <c r="B39" s="8">
        <v>1</v>
      </c>
      <c r="C39" s="18" t="s">
        <v>73</v>
      </c>
      <c r="D39" s="10" t="s">
        <v>18</v>
      </c>
      <c r="E39" s="11">
        <v>0.76</v>
      </c>
      <c r="F39" s="11">
        <f t="shared" si="0"/>
        <v>0.76</v>
      </c>
      <c r="G39" s="10" t="s">
        <v>109</v>
      </c>
      <c r="H39" s="12" t="s">
        <v>118</v>
      </c>
      <c r="I39" s="13" t="s">
        <v>145</v>
      </c>
    </row>
    <row r="40" spans="1:9" x14ac:dyDescent="0.25">
      <c r="A40" s="7" t="s">
        <v>74</v>
      </c>
      <c r="B40" s="8">
        <v>1</v>
      </c>
      <c r="C40" s="18" t="s">
        <v>75</v>
      </c>
      <c r="D40" s="10" t="s">
        <v>18</v>
      </c>
      <c r="E40" s="11">
        <v>0.86</v>
      </c>
      <c r="F40" s="11">
        <f t="shared" si="0"/>
        <v>0.86</v>
      </c>
      <c r="G40" s="10" t="s">
        <v>110</v>
      </c>
      <c r="H40" s="12" t="s">
        <v>75</v>
      </c>
      <c r="I40" s="13" t="s">
        <v>146</v>
      </c>
    </row>
    <row r="41" spans="1:9" x14ac:dyDescent="0.25">
      <c r="A41" s="19" t="s">
        <v>147</v>
      </c>
      <c r="B41" s="20">
        <v>1</v>
      </c>
      <c r="C41" s="18" t="s">
        <v>148</v>
      </c>
      <c r="D41" s="14" t="s">
        <v>18</v>
      </c>
      <c r="E41" s="21">
        <v>10</v>
      </c>
      <c r="F41" s="22">
        <f t="shared" si="0"/>
        <v>10</v>
      </c>
      <c r="G41" s="23"/>
      <c r="H41" s="23"/>
      <c r="I41" s="24"/>
    </row>
    <row r="42" spans="1:9" ht="15.75" thickBot="1" x14ac:dyDescent="0.3">
      <c r="A42" s="25" t="s">
        <v>149</v>
      </c>
      <c r="B42" s="26"/>
      <c r="C42" s="26"/>
      <c r="D42" s="26"/>
      <c r="E42" s="27"/>
      <c r="F42" s="28">
        <f>SUM(F2:F41)</f>
        <v>30.6</v>
      </c>
      <c r="G42" s="26"/>
      <c r="H42" s="26"/>
      <c r="I42" s="29"/>
    </row>
    <row r="43" spans="1:9" ht="15.75" thickTop="1" x14ac:dyDescent="0.25"/>
  </sheetData>
  <hyperlinks>
    <hyperlink ref="I2" r:id="rId1" xr:uid="{6212157D-71BB-4A51-8635-67734F215C32}"/>
    <hyperlink ref="I4" r:id="rId2" xr:uid="{800F7E42-36A3-4DD9-BC56-3573DF179276}"/>
    <hyperlink ref="I5" r:id="rId3" xr:uid="{5E545BF0-12EE-49C6-9FF3-31AE14992A1E}"/>
    <hyperlink ref="I6" r:id="rId4" xr:uid="{34C80DE0-9FDE-4CDC-9DB6-E5328AC92391}"/>
    <hyperlink ref="I7" r:id="rId5" xr:uid="{C601408D-F810-423A-9A50-B8FB8DD46FB9}"/>
    <hyperlink ref="I8" r:id="rId6" xr:uid="{C646FB0C-7444-45EA-A8B0-D2B881385AF6}"/>
    <hyperlink ref="I9" r:id="rId7" xr:uid="{B8D7D175-E542-43CD-AA71-3AD5D9A0DF0F}"/>
    <hyperlink ref="I11" r:id="rId8" xr:uid="{8646E0D5-BAAF-4201-BCE0-D478B340663C}"/>
    <hyperlink ref="I12" r:id="rId9" xr:uid="{C9DE4A2F-AD8A-4EAB-AA67-E42ECE2C38AD}"/>
    <hyperlink ref="I14" r:id="rId10" xr:uid="{64912AB5-5864-4D3E-AD40-029785828AC0}"/>
    <hyperlink ref="I15" r:id="rId11" xr:uid="{2963ECF0-816C-4185-AB41-564AB7D49AE5}"/>
    <hyperlink ref="I16" r:id="rId12" xr:uid="{C57B850F-B16D-4002-A9FD-3374EE63A443}"/>
    <hyperlink ref="I17" r:id="rId13" xr:uid="{FD7578BC-3D2B-4D5C-AF99-00F0AE94A210}"/>
    <hyperlink ref="I18" r:id="rId14" xr:uid="{39BF9CAE-ED7A-4CCF-9BC3-562053A41523}"/>
    <hyperlink ref="I19" r:id="rId15" xr:uid="{6B539133-C42F-4BD7-8257-5EDD192936A1}"/>
    <hyperlink ref="I20" r:id="rId16" xr:uid="{9DC20106-550A-4D99-B1BB-5C3089D1022A}"/>
    <hyperlink ref="I21" r:id="rId17" xr:uid="{2E405EC8-CBC4-46B4-BC1E-3053FFEAEC0E}"/>
    <hyperlink ref="I22" r:id="rId18" xr:uid="{09EF9DAD-43FF-4C0C-8035-14B354CF1234}"/>
    <hyperlink ref="I24" r:id="rId19" xr:uid="{50EFD693-453F-466B-B715-215C521D779C}"/>
    <hyperlink ref="I25" r:id="rId20" xr:uid="{06FDCD29-637D-4C3B-BD39-8EC116FA9387}"/>
    <hyperlink ref="I26" r:id="rId21" xr:uid="{73821E91-51E9-4794-BED2-88FA28AB8876}"/>
    <hyperlink ref="I27" r:id="rId22" xr:uid="{CFA95FF2-2173-4A46-B503-6D87E44C6C2F}"/>
    <hyperlink ref="I28" r:id="rId23" xr:uid="{03B10D02-6C6B-4855-AA22-9A28AA49FBEE}"/>
    <hyperlink ref="I29" r:id="rId24" xr:uid="{D7BC82E4-43C2-4536-A552-546989F7753A}"/>
    <hyperlink ref="I30" r:id="rId25" xr:uid="{F1D89202-CECE-46EC-89DC-AF28D31D1B67}"/>
    <hyperlink ref="I31" r:id="rId26" xr:uid="{7E3C7137-9A1F-48E2-8E3E-4256B505A13B}"/>
    <hyperlink ref="I32" r:id="rId27" xr:uid="{3432B2BA-B7C1-4565-9A65-FA6EA9BB22F2}"/>
    <hyperlink ref="I33" r:id="rId28" xr:uid="{6D9969A1-7954-4F5A-A25F-1B14A05BA33C}"/>
    <hyperlink ref="I34" r:id="rId29" xr:uid="{5791467A-2B64-4798-9AB2-B46511A9AC59}"/>
    <hyperlink ref="I35" r:id="rId30" xr:uid="{4C3F5C79-30DA-42A0-9389-B605831227BC}"/>
    <hyperlink ref="I36" r:id="rId31" xr:uid="{D567FEA2-7237-482C-813A-DA1BC6032907}"/>
    <hyperlink ref="I38" r:id="rId32" xr:uid="{2FA259BC-CECE-48B2-9339-1443B98B24F4}"/>
    <hyperlink ref="I39" r:id="rId33" xr:uid="{D5E83EDE-445A-4FC1-B367-B2671E204969}"/>
    <hyperlink ref="I40" r:id="rId34" xr:uid="{F09032F5-EE6C-4A0E-8310-29FCE613136F}"/>
    <hyperlink ref="I3" r:id="rId35" xr:uid="{0158841B-3408-43AC-8255-14F7A8C20FC5}"/>
    <hyperlink ref="I23" r:id="rId36" xr:uid="{14850861-D507-4BE7-A263-663E79FBF859}"/>
    <hyperlink ref="I37" r:id="rId37" xr:uid="{0E286F2D-B8D9-4889-B4ED-85458BB9C2EF}"/>
  </hyperlinks>
  <pageMargins left="0.7" right="0.7" top="0.75" bottom="0.75" header="0.3" footer="0.3"/>
  <ignoredErrors>
    <ignoredError sqref="H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Taylor</dc:creator>
  <cp:lastModifiedBy>George Taylor</cp:lastModifiedBy>
  <dcterms:created xsi:type="dcterms:W3CDTF">2026-10-09T06:41:38Z</dcterms:created>
  <dcterms:modified xsi:type="dcterms:W3CDTF">2026-10-09T07:23:18Z</dcterms:modified>
</cp:coreProperties>
</file>